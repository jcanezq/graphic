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galeria\cotigrafic\docs\"/>
    </mc:Choice>
  </mc:AlternateContent>
  <xr:revisionPtr revIDLastSave="0" documentId="13_ncr:1_{67C04C92-05B2-4A3E-95CC-7444B680DA51}" xr6:coauthVersionLast="47" xr6:coauthVersionMax="47" xr10:uidLastSave="{00000000-0000-0000-0000-000000000000}"/>
  <bookViews>
    <workbookView xWindow="-120" yWindow="-120" windowWidth="38640" windowHeight="21120" tabRatio="649" xr2:uid="{00000000-000D-0000-FFFF-FFFF00000000}"/>
  </bookViews>
  <sheets>
    <sheet name="Estructura de Costos" sheetId="4" r:id="rId1"/>
  </sheets>
  <definedNames>
    <definedName name="_xlnm._FilterDatabase" localSheetId="0" hidden="1">'Estructura de Costos'!$D$1:$D$77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8" i="4" l="1"/>
  <c r="H58" i="4"/>
  <c r="H76" i="4"/>
  <c r="H75" i="4"/>
  <c r="H74" i="4"/>
  <c r="H73" i="4"/>
  <c r="H72" i="4"/>
  <c r="H70" i="4"/>
  <c r="H69" i="4"/>
  <c r="H68" i="4"/>
  <c r="H67" i="4"/>
  <c r="H66" i="4"/>
  <c r="H65" i="4"/>
  <c r="H64" i="4"/>
  <c r="H61" i="4"/>
  <c r="H60" i="4"/>
  <c r="H59" i="4"/>
  <c r="H57" i="4"/>
  <c r="H56" i="4"/>
  <c r="H54" i="4"/>
  <c r="H53" i="4"/>
  <c r="H52" i="4"/>
  <c r="H51" i="4"/>
  <c r="H50" i="4"/>
  <c r="H49" i="4"/>
  <c r="H48" i="4"/>
  <c r="H46" i="4"/>
  <c r="H45" i="4"/>
  <c r="H44" i="4"/>
  <c r="H43" i="4"/>
  <c r="H42" i="4"/>
  <c r="H40" i="4"/>
  <c r="H39" i="4"/>
  <c r="H37" i="4"/>
  <c r="H36" i="4"/>
  <c r="H35" i="4"/>
  <c r="H34" i="4"/>
  <c r="H31" i="4"/>
  <c r="H30" i="4"/>
  <c r="H29" i="4"/>
  <c r="H28" i="4"/>
  <c r="H25" i="4"/>
  <c r="H24" i="4"/>
  <c r="H23" i="4"/>
  <c r="H22" i="4"/>
  <c r="H21" i="4"/>
  <c r="H20" i="4"/>
  <c r="H18" i="4"/>
  <c r="H17" i="4"/>
  <c r="H16" i="4"/>
  <c r="H15" i="4"/>
  <c r="H14" i="4"/>
  <c r="H11" i="4"/>
  <c r="H10" i="4"/>
  <c r="H9" i="4"/>
  <c r="H8" i="4"/>
  <c r="H7" i="4"/>
  <c r="H6" i="4"/>
  <c r="H5" i="4"/>
  <c r="H71" i="4" l="1"/>
  <c r="H19" i="4"/>
  <c r="H33" i="4"/>
  <c r="H13" i="4"/>
  <c r="H4" i="4"/>
  <c r="H27" i="4"/>
  <c r="H47" i="4"/>
  <c r="H41" i="4"/>
  <c r="H55" i="4"/>
  <c r="H63" i="4"/>
</calcChain>
</file>

<file path=xl/sharedStrings.xml><?xml version="1.0" encoding="utf-8"?>
<sst xmlns="http://schemas.openxmlformats.org/spreadsheetml/2006/main" count="207" uniqueCount="80">
  <si>
    <t>Pizarras Adhesivas Premium Personalizadas</t>
  </si>
  <si>
    <t>Revestimientos Adhesivos</t>
  </si>
  <si>
    <t>Vinilos Decorativos para Superficies</t>
  </si>
  <si>
    <t>Láminas para Vidrio</t>
  </si>
  <si>
    <t>Melamine y Drywall</t>
  </si>
  <si>
    <t>Publicidad Impresa</t>
  </si>
  <si>
    <t>Señalética y Letreros</t>
  </si>
  <si>
    <t>Laminado Vehicular</t>
  </si>
  <si>
    <t>Estructura de Costos por Producto / Servicio — LAMINARTE</t>
  </si>
  <si>
    <t>Valores de referencia estimados (S/) para el mercado peruano — edita las celdas amarillas (Costo Unitario y Cantidad) con tus costos reales de proveedores/planilla.</t>
  </si>
  <si>
    <t>Producto / Servicio</t>
  </si>
  <si>
    <t>Unidad de referencia</t>
  </si>
  <si>
    <t>Ítem</t>
  </si>
  <si>
    <t>Unidad</t>
  </si>
  <si>
    <t>Costo Unitario (S/)</t>
  </si>
  <si>
    <t>Cantidad estimada</t>
  </si>
  <si>
    <t>Costo Total (S/)</t>
  </si>
  <si>
    <t>Materiales/Insumos</t>
  </si>
  <si>
    <t>Vinil pizarra premium</t>
  </si>
  <si>
    <t>m²</t>
  </si>
  <si>
    <t>Laminado protector antirayas</t>
  </si>
  <si>
    <t>Producción</t>
  </si>
  <si>
    <t>Impresión / corte digital</t>
  </si>
  <si>
    <t>servicio</t>
  </si>
  <si>
    <t>Mano de Obra</t>
  </si>
  <si>
    <t>Instalación especializada</t>
  </si>
  <si>
    <t>Otros</t>
  </si>
  <si>
    <t>Empaque y protección</t>
  </si>
  <si>
    <t>unidad</t>
  </si>
  <si>
    <t>Adhesivo / pegamento especial</t>
  </si>
  <si>
    <t>Impresión digital (diseño personalizado)</t>
  </si>
  <si>
    <t>Instalación</t>
  </si>
  <si>
    <t>Transporte</t>
  </si>
  <si>
    <t>Laminado protector</t>
  </si>
  <si>
    <t>Plotter de corte</t>
  </si>
  <si>
    <t>Lámina de seguridad / control solar</t>
  </si>
  <si>
    <t>Corte a medida</t>
  </si>
  <si>
    <t>Aplicación en vidrio (instalación)</t>
  </si>
  <si>
    <t>Tablero melamine 18mm</t>
  </si>
  <si>
    <t>Cantos / tapacantos</t>
  </si>
  <si>
    <t>m lineal</t>
  </si>
  <si>
    <t>Herrajes (bisagras, correderas, jaladores)</t>
  </si>
  <si>
    <t>juego</t>
  </si>
  <si>
    <t>Carpintería / instalación</t>
  </si>
  <si>
    <t>Lona / banner / mesh base</t>
  </si>
  <si>
    <t>Impresión digital gran formato</t>
  </si>
  <si>
    <t>Acabados (ojales, dobladillos, bolsillos)</t>
  </si>
  <si>
    <t>Módulos LED e iluminación</t>
  </si>
  <si>
    <t>Corte láser / router CNC</t>
  </si>
  <si>
    <t>Ensamblaje</t>
  </si>
  <si>
    <t>Cableado e instalación eléctrica</t>
  </si>
  <si>
    <t>Instalación en sitio</t>
  </si>
  <si>
    <t>Acrílico / PVC / MDF</t>
  </si>
  <si>
    <t>Impresión gráfica del exhibidor</t>
  </si>
  <si>
    <t>Corte y router</t>
  </si>
  <si>
    <t>Instalación / entrega</t>
  </si>
  <si>
    <t>Vinil laminado premium</t>
  </si>
  <si>
    <t>Impresión digital</t>
  </si>
  <si>
    <t>Laminado de protección de pintura</t>
  </si>
  <si>
    <t>Instalación Profesional (servicio independiente)</t>
  </si>
  <si>
    <t>Técnico especializado</t>
  </si>
  <si>
    <t>hora-hombre</t>
  </si>
  <si>
    <t>Herramientas y equipos</t>
  </si>
  <si>
    <t>Supervisión de obra</t>
  </si>
  <si>
    <t>Insumos menores de fijación (tornillos, silicona, cinta)</t>
  </si>
  <si>
    <t>global</t>
  </si>
  <si>
    <t>Exhibidores y POP - M2</t>
  </si>
  <si>
    <t xml:space="preserve">Acrílico / PVC </t>
  </si>
  <si>
    <t>Cortes y acabados</t>
  </si>
  <si>
    <t>Servicio</t>
  </si>
  <si>
    <t>Diseño y armado de mueble</t>
  </si>
  <si>
    <t>Vinil decorativo</t>
  </si>
  <si>
    <t>Impresión ecosolvente de alta</t>
  </si>
  <si>
    <t>m² instalado</t>
  </si>
  <si>
    <t>m² de mueble/tabique</t>
  </si>
  <si>
    <t>m² de vehículo</t>
  </si>
  <si>
    <t>hora-técnico / visita</t>
  </si>
  <si>
    <t>Diseño gráfico</t>
  </si>
  <si>
    <t>Categoría</t>
  </si>
  <si>
    <t>m² de gigantografía/banner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</si>
</sst>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5" fillId="0" borderId="0" xfId="0" applyFont="1" applyFill="1" applyAlignment="1">
      <alignment vertical="top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64" fontId="4" fillId="0" borderId="1" xfId="0" applyNumberFormat="1" applyFont="1" applyFill="1" applyBorder="1"/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vertical="top" wrapText="1"/>
    </xf>
    <xf numFmtId="164" fontId="6" fillId="0" borderId="1" xfId="0" applyNumberFormat="1" applyFont="1" applyFill="1" applyBorder="1"/>
    <xf numFmtId="0" fontId="6" fillId="0" borderId="1" xfId="0" applyFont="1" applyFill="1" applyBorder="1"/>
    <xf numFmtId="164" fontId="3" fillId="0" borderId="1" xfId="0" applyNumberFormat="1" applyFont="1" applyFill="1" applyBorder="1"/>
    <xf numFmtId="0" fontId="8" fillId="0" borderId="1" xfId="0" applyFont="1" applyFill="1" applyBorder="1" applyAlignment="1">
      <alignment vertical="top" wrapText="1"/>
    </xf>
    <xf numFmtId="164" fontId="6" fillId="0" borderId="1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 applyFill="1" applyAlignment="1"/>
    <xf numFmtId="0" fontId="5" fillId="0" borderId="0" xfId="0" applyFont="1" applyFill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7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showGridLines="0" tabSelected="1" zoomScaleNormal="100" workbookViewId="0">
      <pane ySplit="3" topLeftCell="A5" activePane="bottomLeft" state="frozen"/>
      <selection pane="bottomLeft" activeCell="D1" sqref="D1:D1048576"/>
    </sheetView>
  </sheetViews>
  <sheetFormatPr baseColWidth="10" defaultColWidth="8.7109375" defaultRowHeight="15" x14ac:dyDescent="0.25"/>
  <cols>
    <col min="1" max="1" width="43.85546875" style="3" customWidth="1"/>
    <col min="2" max="2" width="22.5703125" style="3" bestFit="1" customWidth="1"/>
    <col min="3" max="3" width="35.5703125" style="3" bestFit="1" customWidth="1"/>
    <col min="4" max="4" width="17.28515625" style="3" bestFit="1" customWidth="1"/>
    <col min="5" max="5" width="12.7109375" style="24" bestFit="1" customWidth="1"/>
    <col min="6" max="6" width="15.5703125" style="3" bestFit="1" customWidth="1"/>
    <col min="7" max="7" width="14" style="3" customWidth="1"/>
    <col min="8" max="8" width="12.7109375" style="3" bestFit="1" customWidth="1"/>
    <col min="9" max="16384" width="8.7109375" style="3"/>
  </cols>
  <sheetData>
    <row r="1" spans="1:8" ht="18" x14ac:dyDescent="0.25">
      <c r="A1" s="2" t="s">
        <v>8</v>
      </c>
      <c r="B1" s="2"/>
      <c r="C1" s="2"/>
      <c r="D1" s="2"/>
      <c r="E1" s="1"/>
      <c r="F1" s="2"/>
      <c r="G1" s="2"/>
    </row>
    <row r="2" spans="1:8" ht="15" customHeight="1" x14ac:dyDescent="0.25">
      <c r="A2" s="4" t="s">
        <v>9</v>
      </c>
      <c r="B2" s="4"/>
      <c r="C2" s="4"/>
      <c r="D2" s="4"/>
      <c r="E2" s="20"/>
      <c r="F2" s="4"/>
      <c r="G2" s="4"/>
    </row>
    <row r="3" spans="1:8" ht="30" x14ac:dyDescent="0.25">
      <c r="A3" s="5" t="s">
        <v>10</v>
      </c>
      <c r="B3" s="5" t="s">
        <v>11</v>
      </c>
      <c r="C3" s="6" t="s">
        <v>12</v>
      </c>
      <c r="D3" s="5" t="s">
        <v>78</v>
      </c>
      <c r="E3" s="6" t="s">
        <v>13</v>
      </c>
      <c r="F3" s="5" t="s">
        <v>14</v>
      </c>
      <c r="G3" s="5" t="s">
        <v>15</v>
      </c>
      <c r="H3" s="5" t="s">
        <v>16</v>
      </c>
    </row>
    <row r="4" spans="1:8" x14ac:dyDescent="0.25">
      <c r="A4" s="7" t="s">
        <v>0</v>
      </c>
      <c r="B4" s="11" t="s">
        <v>73</v>
      </c>
      <c r="C4" s="8"/>
      <c r="D4" s="8"/>
      <c r="E4" s="21"/>
      <c r="F4" s="8"/>
      <c r="G4" s="8"/>
      <c r="H4" s="9">
        <f>SUM(H5:H12)</f>
        <v>7</v>
      </c>
    </row>
    <row r="5" spans="1:8" x14ac:dyDescent="0.25">
      <c r="A5" s="10"/>
      <c r="B5" s="11"/>
      <c r="C5" s="11" t="s">
        <v>18</v>
      </c>
      <c r="D5" s="11" t="s">
        <v>17</v>
      </c>
      <c r="E5" s="12" t="s">
        <v>19</v>
      </c>
      <c r="F5" s="17">
        <v>1</v>
      </c>
      <c r="G5" s="18">
        <v>1</v>
      </c>
      <c r="H5" s="15">
        <f t="shared" ref="H5:H11" si="0">F5*G5</f>
        <v>1</v>
      </c>
    </row>
    <row r="6" spans="1:8" x14ac:dyDescent="0.25">
      <c r="A6" s="10"/>
      <c r="B6" s="11"/>
      <c r="C6" s="11" t="s">
        <v>20</v>
      </c>
      <c r="D6" s="11" t="s">
        <v>17</v>
      </c>
      <c r="E6" s="12" t="s">
        <v>19</v>
      </c>
      <c r="F6" s="13">
        <v>1</v>
      </c>
      <c r="G6" s="14">
        <v>1</v>
      </c>
      <c r="H6" s="15">
        <f t="shared" si="0"/>
        <v>1</v>
      </c>
    </row>
    <row r="7" spans="1:8" x14ac:dyDescent="0.25">
      <c r="A7" s="10"/>
      <c r="B7" s="11"/>
      <c r="C7" s="11" t="s">
        <v>22</v>
      </c>
      <c r="D7" s="11" t="s">
        <v>21</v>
      </c>
      <c r="E7" s="12" t="s">
        <v>19</v>
      </c>
      <c r="F7" s="13">
        <v>1</v>
      </c>
      <c r="G7" s="14">
        <v>1</v>
      </c>
      <c r="H7" s="15">
        <f t="shared" si="0"/>
        <v>1</v>
      </c>
    </row>
    <row r="8" spans="1:8" x14ac:dyDescent="0.25">
      <c r="A8" s="10"/>
      <c r="B8" s="11"/>
      <c r="C8" s="16" t="s">
        <v>77</v>
      </c>
      <c r="D8" s="11" t="s">
        <v>21</v>
      </c>
      <c r="E8" s="12" t="s">
        <v>23</v>
      </c>
      <c r="F8" s="13">
        <v>1</v>
      </c>
      <c r="G8" s="14">
        <v>1</v>
      </c>
      <c r="H8" s="15">
        <f t="shared" si="0"/>
        <v>1</v>
      </c>
    </row>
    <row r="9" spans="1:8" x14ac:dyDescent="0.25">
      <c r="A9" s="10"/>
      <c r="B9" s="11"/>
      <c r="C9" s="11" t="s">
        <v>25</v>
      </c>
      <c r="D9" s="11" t="s">
        <v>24</v>
      </c>
      <c r="E9" s="12" t="s">
        <v>19</v>
      </c>
      <c r="F9" s="13">
        <v>1</v>
      </c>
      <c r="G9" s="14">
        <v>1</v>
      </c>
      <c r="H9" s="15">
        <f t="shared" si="0"/>
        <v>1</v>
      </c>
    </row>
    <row r="10" spans="1:8" x14ac:dyDescent="0.25">
      <c r="A10" s="10"/>
      <c r="B10" s="11"/>
      <c r="C10" s="11" t="s">
        <v>32</v>
      </c>
      <c r="D10" s="11" t="s">
        <v>26</v>
      </c>
      <c r="E10" s="22" t="s">
        <v>23</v>
      </c>
      <c r="F10" s="13">
        <v>1</v>
      </c>
      <c r="G10" s="14">
        <v>1</v>
      </c>
      <c r="H10" s="15">
        <f t="shared" si="0"/>
        <v>1</v>
      </c>
    </row>
    <row r="11" spans="1:8" x14ac:dyDescent="0.25">
      <c r="A11" s="10"/>
      <c r="B11" s="11"/>
      <c r="C11" s="11" t="s">
        <v>27</v>
      </c>
      <c r="D11" s="11" t="s">
        <v>26</v>
      </c>
      <c r="E11" s="22" t="s">
        <v>28</v>
      </c>
      <c r="F11" s="13">
        <v>1</v>
      </c>
      <c r="G11" s="14">
        <v>1</v>
      </c>
      <c r="H11" s="15">
        <f t="shared" si="0"/>
        <v>1</v>
      </c>
    </row>
    <row r="12" spans="1:8" x14ac:dyDescent="0.25">
      <c r="A12" s="10"/>
      <c r="B12" s="11"/>
      <c r="C12" s="11"/>
      <c r="D12" s="11"/>
      <c r="E12" s="22"/>
      <c r="F12" s="13"/>
      <c r="G12" s="14"/>
      <c r="H12" s="15"/>
    </row>
    <row r="13" spans="1:8" x14ac:dyDescent="0.25">
      <c r="A13" s="8" t="s">
        <v>1</v>
      </c>
      <c r="B13" s="11" t="s">
        <v>73</v>
      </c>
      <c r="C13" s="8"/>
      <c r="D13" s="8"/>
      <c r="E13" s="21"/>
      <c r="F13" s="8"/>
      <c r="G13" s="8"/>
      <c r="H13" s="9">
        <f>SUM(H14:H18)</f>
        <v>98</v>
      </c>
    </row>
    <row r="14" spans="1:8" x14ac:dyDescent="0.25">
      <c r="A14" s="10"/>
      <c r="B14" s="11"/>
      <c r="C14" s="16" t="s">
        <v>71</v>
      </c>
      <c r="D14" s="11" t="s">
        <v>17</v>
      </c>
      <c r="E14" s="22" t="s">
        <v>19</v>
      </c>
      <c r="F14" s="17">
        <v>38</v>
      </c>
      <c r="G14" s="18">
        <v>1</v>
      </c>
      <c r="H14" s="15">
        <f>F14*G14</f>
        <v>38</v>
      </c>
    </row>
    <row r="15" spans="1:8" x14ac:dyDescent="0.25">
      <c r="A15" s="10"/>
      <c r="B15" s="11"/>
      <c r="C15" s="11" t="s">
        <v>29</v>
      </c>
      <c r="D15" s="11" t="s">
        <v>17</v>
      </c>
      <c r="E15" s="22" t="s">
        <v>19</v>
      </c>
      <c r="F15" s="13">
        <v>6</v>
      </c>
      <c r="G15" s="14">
        <v>1</v>
      </c>
      <c r="H15" s="15">
        <f>F15*G15</f>
        <v>6</v>
      </c>
    </row>
    <row r="16" spans="1:8" x14ac:dyDescent="0.25">
      <c r="A16" s="10"/>
      <c r="B16" s="11"/>
      <c r="C16" s="11" t="s">
        <v>30</v>
      </c>
      <c r="D16" s="11" t="s">
        <v>21</v>
      </c>
      <c r="E16" s="22" t="s">
        <v>19</v>
      </c>
      <c r="F16" s="13">
        <v>9</v>
      </c>
      <c r="G16" s="14">
        <v>1</v>
      </c>
      <c r="H16" s="15">
        <f>F16*G16</f>
        <v>9</v>
      </c>
    </row>
    <row r="17" spans="1:8" x14ac:dyDescent="0.25">
      <c r="A17" s="10"/>
      <c r="B17" s="11"/>
      <c r="C17" s="11" t="s">
        <v>31</v>
      </c>
      <c r="D17" s="11" t="s">
        <v>24</v>
      </c>
      <c r="E17" s="22" t="s">
        <v>19</v>
      </c>
      <c r="F17" s="13">
        <v>30</v>
      </c>
      <c r="G17" s="14">
        <v>1</v>
      </c>
      <c r="H17" s="15">
        <f>F17*G17</f>
        <v>30</v>
      </c>
    </row>
    <row r="18" spans="1:8" x14ac:dyDescent="0.25">
      <c r="A18" s="10"/>
      <c r="B18" s="11"/>
      <c r="C18" s="11" t="s">
        <v>32</v>
      </c>
      <c r="D18" s="11" t="s">
        <v>26</v>
      </c>
      <c r="E18" s="22" t="s">
        <v>23</v>
      </c>
      <c r="F18" s="13">
        <v>15</v>
      </c>
      <c r="G18" s="14">
        <v>1</v>
      </c>
      <c r="H18" s="15">
        <f>F18*G18</f>
        <v>15</v>
      </c>
    </row>
    <row r="19" spans="1:8" x14ac:dyDescent="0.25">
      <c r="A19" s="8" t="s">
        <v>2</v>
      </c>
      <c r="B19" s="11" t="s">
        <v>73</v>
      </c>
      <c r="C19" s="8"/>
      <c r="D19" s="8"/>
      <c r="E19" s="21"/>
      <c r="F19" s="8"/>
      <c r="G19" s="8"/>
      <c r="H19" s="9">
        <f>SUM(H20:H25)</f>
        <v>77</v>
      </c>
    </row>
    <row r="20" spans="1:8" x14ac:dyDescent="0.25">
      <c r="A20" s="10"/>
      <c r="B20" s="11"/>
      <c r="C20" s="16" t="s">
        <v>71</v>
      </c>
      <c r="D20" s="11" t="s">
        <v>17</v>
      </c>
      <c r="E20" s="22" t="s">
        <v>19</v>
      </c>
      <c r="F20" s="17">
        <v>25</v>
      </c>
      <c r="G20" s="18">
        <v>1</v>
      </c>
      <c r="H20" s="15">
        <f t="shared" ref="H20:H25" si="1">F20*G20</f>
        <v>25</v>
      </c>
    </row>
    <row r="21" spans="1:8" x14ac:dyDescent="0.25">
      <c r="A21" s="10"/>
      <c r="B21" s="11"/>
      <c r="C21" s="16" t="s">
        <v>72</v>
      </c>
      <c r="D21" s="11" t="s">
        <v>21</v>
      </c>
      <c r="E21" s="22" t="s">
        <v>19</v>
      </c>
      <c r="F21" s="13">
        <v>10</v>
      </c>
      <c r="G21" s="14">
        <v>1</v>
      </c>
      <c r="H21" s="15">
        <f t="shared" si="1"/>
        <v>10</v>
      </c>
    </row>
    <row r="22" spans="1:8" x14ac:dyDescent="0.25">
      <c r="A22" s="10"/>
      <c r="B22" s="11"/>
      <c r="C22" s="11" t="s">
        <v>33</v>
      </c>
      <c r="D22" s="11" t="s">
        <v>17</v>
      </c>
      <c r="E22" s="22" t="s">
        <v>19</v>
      </c>
      <c r="F22" s="13">
        <v>6</v>
      </c>
      <c r="G22" s="14">
        <v>1</v>
      </c>
      <c r="H22" s="15">
        <f t="shared" si="1"/>
        <v>6</v>
      </c>
    </row>
    <row r="23" spans="1:8" x14ac:dyDescent="0.25">
      <c r="A23" s="10"/>
      <c r="B23" s="11"/>
      <c r="C23" s="11" t="s">
        <v>34</v>
      </c>
      <c r="D23" s="11" t="s">
        <v>21</v>
      </c>
      <c r="E23" s="22" t="s">
        <v>19</v>
      </c>
      <c r="F23" s="13">
        <v>6</v>
      </c>
      <c r="G23" s="14">
        <v>1</v>
      </c>
      <c r="H23" s="15">
        <f t="shared" si="1"/>
        <v>6</v>
      </c>
    </row>
    <row r="24" spans="1:8" x14ac:dyDescent="0.25">
      <c r="A24" s="10"/>
      <c r="B24" s="11"/>
      <c r="C24" s="11" t="s">
        <v>31</v>
      </c>
      <c r="D24" s="11" t="s">
        <v>24</v>
      </c>
      <c r="E24" s="22" t="s">
        <v>19</v>
      </c>
      <c r="F24" s="13">
        <v>15</v>
      </c>
      <c r="G24" s="14">
        <v>1</v>
      </c>
      <c r="H24" s="15">
        <f t="shared" si="1"/>
        <v>15</v>
      </c>
    </row>
    <row r="25" spans="1:8" x14ac:dyDescent="0.25">
      <c r="A25" s="10"/>
      <c r="B25" s="11"/>
      <c r="C25" s="11" t="s">
        <v>32</v>
      </c>
      <c r="D25" s="11" t="s">
        <v>26</v>
      </c>
      <c r="E25" s="22" t="s">
        <v>23</v>
      </c>
      <c r="F25" s="13">
        <v>15</v>
      </c>
      <c r="G25" s="14">
        <v>1</v>
      </c>
      <c r="H25" s="15">
        <f t="shared" si="1"/>
        <v>15</v>
      </c>
    </row>
    <row r="26" spans="1:8" x14ac:dyDescent="0.25">
      <c r="A26" s="10"/>
      <c r="B26" s="11"/>
      <c r="C26" s="11"/>
      <c r="D26" s="11"/>
      <c r="E26" s="22"/>
      <c r="F26" s="13"/>
      <c r="G26" s="14"/>
      <c r="H26" s="15"/>
    </row>
    <row r="27" spans="1:8" x14ac:dyDescent="0.25">
      <c r="A27" s="8" t="s">
        <v>3</v>
      </c>
      <c r="B27" s="11" t="s">
        <v>73</v>
      </c>
      <c r="C27" s="8"/>
      <c r="D27" s="8"/>
      <c r="E27" s="21"/>
      <c r="F27" s="8"/>
      <c r="G27" s="8"/>
      <c r="H27" s="9">
        <f>SUM(H28:H31)</f>
        <v>101</v>
      </c>
    </row>
    <row r="28" spans="1:8" x14ac:dyDescent="0.25">
      <c r="A28" s="10"/>
      <c r="B28" s="11"/>
      <c r="C28" s="11" t="s">
        <v>35</v>
      </c>
      <c r="D28" s="11" t="s">
        <v>17</v>
      </c>
      <c r="E28" s="22" t="s">
        <v>19</v>
      </c>
      <c r="F28" s="17">
        <v>55</v>
      </c>
      <c r="G28" s="18">
        <v>1</v>
      </c>
      <c r="H28" s="15">
        <f>F28*G28</f>
        <v>55</v>
      </c>
    </row>
    <row r="29" spans="1:8" x14ac:dyDescent="0.25">
      <c r="A29" s="10"/>
      <c r="B29" s="11"/>
      <c r="C29" s="11" t="s">
        <v>36</v>
      </c>
      <c r="D29" s="11" t="s">
        <v>21</v>
      </c>
      <c r="E29" s="22" t="s">
        <v>19</v>
      </c>
      <c r="F29" s="13">
        <v>6</v>
      </c>
      <c r="G29" s="14">
        <v>1</v>
      </c>
      <c r="H29" s="15">
        <f>F29*G29</f>
        <v>6</v>
      </c>
    </row>
    <row r="30" spans="1:8" x14ac:dyDescent="0.25">
      <c r="A30" s="10"/>
      <c r="B30" s="11"/>
      <c r="C30" s="11" t="s">
        <v>37</v>
      </c>
      <c r="D30" s="11" t="s">
        <v>24</v>
      </c>
      <c r="E30" s="22" t="s">
        <v>19</v>
      </c>
      <c r="F30" s="13">
        <v>25</v>
      </c>
      <c r="G30" s="14">
        <v>1</v>
      </c>
      <c r="H30" s="15">
        <f>F30*G30</f>
        <v>25</v>
      </c>
    </row>
    <row r="31" spans="1:8" x14ac:dyDescent="0.25">
      <c r="A31" s="10"/>
      <c r="B31" s="11"/>
      <c r="C31" s="11" t="s">
        <v>32</v>
      </c>
      <c r="D31" s="11" t="s">
        <v>26</v>
      </c>
      <c r="E31" s="22" t="s">
        <v>23</v>
      </c>
      <c r="F31" s="13">
        <v>15</v>
      </c>
      <c r="G31" s="14">
        <v>1</v>
      </c>
      <c r="H31" s="15">
        <f>F31*G31</f>
        <v>15</v>
      </c>
    </row>
    <row r="32" spans="1:8" x14ac:dyDescent="0.25">
      <c r="A32" s="10"/>
      <c r="B32" s="11"/>
      <c r="C32" s="11"/>
      <c r="D32" s="11"/>
      <c r="E32" s="22"/>
      <c r="F32" s="13"/>
      <c r="G32" s="14"/>
      <c r="H32" s="15"/>
    </row>
    <row r="33" spans="1:8" x14ac:dyDescent="0.25">
      <c r="A33" s="8" t="s">
        <v>4</v>
      </c>
      <c r="B33" s="11" t="s">
        <v>74</v>
      </c>
      <c r="C33" s="8"/>
      <c r="D33" s="8"/>
      <c r="E33" s="21"/>
      <c r="F33" s="8"/>
      <c r="G33" s="8"/>
      <c r="H33" s="9">
        <f>SUM(H34:H40)</f>
        <v>344.8</v>
      </c>
    </row>
    <row r="34" spans="1:8" x14ac:dyDescent="0.25">
      <c r="A34" s="10"/>
      <c r="B34" s="11"/>
      <c r="C34" s="11" t="s">
        <v>38</v>
      </c>
      <c r="D34" s="11" t="s">
        <v>17</v>
      </c>
      <c r="E34" s="22" t="s">
        <v>19</v>
      </c>
      <c r="F34" s="17">
        <v>140</v>
      </c>
      <c r="G34" s="18">
        <v>1</v>
      </c>
      <c r="H34" s="15">
        <f t="shared" ref="H34:H40" si="2">F34*G34</f>
        <v>140</v>
      </c>
    </row>
    <row r="35" spans="1:8" x14ac:dyDescent="0.25">
      <c r="A35" s="10"/>
      <c r="B35" s="11"/>
      <c r="C35" s="11" t="s">
        <v>39</v>
      </c>
      <c r="D35" s="11" t="s">
        <v>17</v>
      </c>
      <c r="E35" s="22" t="s">
        <v>40</v>
      </c>
      <c r="F35" s="13">
        <v>1.2</v>
      </c>
      <c r="G35" s="14">
        <v>4</v>
      </c>
      <c r="H35" s="15">
        <f t="shared" si="2"/>
        <v>4.8</v>
      </c>
    </row>
    <row r="36" spans="1:8" x14ac:dyDescent="0.25">
      <c r="A36" s="10"/>
      <c r="B36" s="11"/>
      <c r="C36" s="11" t="s">
        <v>41</v>
      </c>
      <c r="D36" s="11" t="s">
        <v>17</v>
      </c>
      <c r="E36" s="22" t="s">
        <v>42</v>
      </c>
      <c r="F36" s="13">
        <v>40</v>
      </c>
      <c r="G36" s="14">
        <v>1</v>
      </c>
      <c r="H36" s="15">
        <f t="shared" si="2"/>
        <v>40</v>
      </c>
    </row>
    <row r="37" spans="1:8" x14ac:dyDescent="0.25">
      <c r="A37" s="10"/>
      <c r="B37" s="11"/>
      <c r="C37" s="16" t="s">
        <v>70</v>
      </c>
      <c r="D37" s="16" t="s">
        <v>69</v>
      </c>
      <c r="E37" s="22" t="s">
        <v>19</v>
      </c>
      <c r="F37" s="13">
        <v>20</v>
      </c>
      <c r="G37" s="14">
        <v>1</v>
      </c>
      <c r="H37" s="15">
        <f t="shared" si="2"/>
        <v>20</v>
      </c>
    </row>
    <row r="38" spans="1:8" x14ac:dyDescent="0.25">
      <c r="A38" s="10"/>
      <c r="B38" s="11"/>
      <c r="C38" s="11" t="s">
        <v>43</v>
      </c>
      <c r="D38" s="11" t="s">
        <v>24</v>
      </c>
      <c r="E38" s="22" t="s">
        <v>19</v>
      </c>
      <c r="F38" s="13">
        <v>80</v>
      </c>
      <c r="G38" s="14">
        <v>1</v>
      </c>
      <c r="H38" s="15">
        <f t="shared" ref="H38" si="3">F38*G38</f>
        <v>80</v>
      </c>
    </row>
    <row r="39" spans="1:8" x14ac:dyDescent="0.25">
      <c r="A39" s="10"/>
      <c r="B39" s="11"/>
      <c r="C39" s="16" t="s">
        <v>68</v>
      </c>
      <c r="D39" s="11" t="s">
        <v>24</v>
      </c>
      <c r="E39" s="22" t="s">
        <v>19</v>
      </c>
      <c r="F39" s="13">
        <v>40</v>
      </c>
      <c r="G39" s="14">
        <v>1</v>
      </c>
      <c r="H39" s="15">
        <f t="shared" si="2"/>
        <v>40</v>
      </c>
    </row>
    <row r="40" spans="1:8" x14ac:dyDescent="0.25">
      <c r="A40" s="10"/>
      <c r="B40" s="11"/>
      <c r="C40" s="11" t="s">
        <v>32</v>
      </c>
      <c r="D40" s="11" t="s">
        <v>26</v>
      </c>
      <c r="E40" s="22" t="s">
        <v>23</v>
      </c>
      <c r="F40" s="13">
        <v>20</v>
      </c>
      <c r="G40" s="14">
        <v>1</v>
      </c>
      <c r="H40" s="15">
        <f t="shared" si="2"/>
        <v>20</v>
      </c>
    </row>
    <row r="41" spans="1:8" ht="25.5" x14ac:dyDescent="0.25">
      <c r="A41" s="8" t="s">
        <v>5</v>
      </c>
      <c r="B41" s="11" t="s">
        <v>79</v>
      </c>
      <c r="C41" s="8"/>
      <c r="D41" s="8"/>
      <c r="E41" s="21"/>
      <c r="F41" s="8"/>
      <c r="G41" s="8"/>
      <c r="H41" s="9">
        <f>SUM(H42:H46)</f>
        <v>50</v>
      </c>
    </row>
    <row r="42" spans="1:8" x14ac:dyDescent="0.25">
      <c r="A42" s="10"/>
      <c r="B42" s="11"/>
      <c r="C42" s="11" t="s">
        <v>44</v>
      </c>
      <c r="D42" s="11" t="s">
        <v>17</v>
      </c>
      <c r="E42" s="22" t="s">
        <v>19</v>
      </c>
      <c r="F42" s="17">
        <v>10</v>
      </c>
      <c r="G42" s="18">
        <v>1</v>
      </c>
      <c r="H42" s="15">
        <f t="shared" ref="H42:H46" si="4">F42*G42</f>
        <v>10</v>
      </c>
    </row>
    <row r="43" spans="1:8" x14ac:dyDescent="0.25">
      <c r="A43" s="10"/>
      <c r="B43" s="11"/>
      <c r="C43" s="11" t="s">
        <v>45</v>
      </c>
      <c r="D43" s="11" t="s">
        <v>21</v>
      </c>
      <c r="E43" s="22" t="s">
        <v>19</v>
      </c>
      <c r="F43" s="13">
        <v>5</v>
      </c>
      <c r="G43" s="14">
        <v>1</v>
      </c>
      <c r="H43" s="15">
        <f t="shared" si="4"/>
        <v>5</v>
      </c>
    </row>
    <row r="44" spans="1:8" x14ac:dyDescent="0.25">
      <c r="A44" s="10"/>
      <c r="B44" s="11"/>
      <c r="C44" s="11" t="s">
        <v>46</v>
      </c>
      <c r="D44" s="11" t="s">
        <v>21</v>
      </c>
      <c r="E44" s="22" t="s">
        <v>28</v>
      </c>
      <c r="F44" s="13">
        <v>5</v>
      </c>
      <c r="G44" s="14">
        <v>1</v>
      </c>
      <c r="H44" s="15">
        <f t="shared" si="4"/>
        <v>5</v>
      </c>
    </row>
    <row r="45" spans="1:8" x14ac:dyDescent="0.25">
      <c r="A45" s="10"/>
      <c r="B45" s="11"/>
      <c r="C45" s="11" t="s">
        <v>31</v>
      </c>
      <c r="D45" s="11" t="s">
        <v>24</v>
      </c>
      <c r="E45" s="22" t="s">
        <v>23</v>
      </c>
      <c r="F45" s="13">
        <v>15</v>
      </c>
      <c r="G45" s="14">
        <v>1</v>
      </c>
      <c r="H45" s="15">
        <f t="shared" si="4"/>
        <v>15</v>
      </c>
    </row>
    <row r="46" spans="1:8" x14ac:dyDescent="0.25">
      <c r="A46" s="10"/>
      <c r="B46" s="11"/>
      <c r="C46" s="11" t="s">
        <v>32</v>
      </c>
      <c r="D46" s="11" t="s">
        <v>26</v>
      </c>
      <c r="E46" s="22" t="s">
        <v>23</v>
      </c>
      <c r="F46" s="13">
        <v>15</v>
      </c>
      <c r="G46" s="14">
        <v>1</v>
      </c>
      <c r="H46" s="15">
        <f t="shared" si="4"/>
        <v>15</v>
      </c>
    </row>
    <row r="47" spans="1:8" x14ac:dyDescent="0.25">
      <c r="A47" s="8" t="s">
        <v>6</v>
      </c>
      <c r="B47" s="11" t="s">
        <v>28</v>
      </c>
      <c r="C47" s="8"/>
      <c r="D47" s="8"/>
      <c r="E47" s="21"/>
      <c r="F47" s="8"/>
      <c r="G47" s="8"/>
      <c r="H47" s="9">
        <f>SUM(H48:H54)</f>
        <v>155</v>
      </c>
    </row>
    <row r="48" spans="1:8" x14ac:dyDescent="0.25">
      <c r="A48" s="10"/>
      <c r="B48" s="11"/>
      <c r="C48" s="16" t="s">
        <v>67</v>
      </c>
      <c r="D48" s="11" t="s">
        <v>17</v>
      </c>
      <c r="E48" s="22" t="s">
        <v>28</v>
      </c>
      <c r="F48" s="13">
        <v>40</v>
      </c>
      <c r="G48" s="14">
        <v>1</v>
      </c>
      <c r="H48" s="15">
        <f t="shared" ref="H48:H54" si="5">F48*G48</f>
        <v>40</v>
      </c>
    </row>
    <row r="49" spans="1:8" x14ac:dyDescent="0.25">
      <c r="A49" s="10"/>
      <c r="B49" s="11"/>
      <c r="C49" s="11" t="s">
        <v>47</v>
      </c>
      <c r="D49" s="11" t="s">
        <v>17</v>
      </c>
      <c r="E49" s="22" t="s">
        <v>28</v>
      </c>
      <c r="F49" s="13">
        <v>25</v>
      </c>
      <c r="G49" s="14">
        <v>1</v>
      </c>
      <c r="H49" s="15">
        <f t="shared" si="5"/>
        <v>25</v>
      </c>
    </row>
    <row r="50" spans="1:8" x14ac:dyDescent="0.25">
      <c r="A50" s="10"/>
      <c r="B50" s="11"/>
      <c r="C50" s="11" t="s">
        <v>48</v>
      </c>
      <c r="D50" s="11" t="s">
        <v>21</v>
      </c>
      <c r="E50" s="22" t="s">
        <v>28</v>
      </c>
      <c r="F50" s="13">
        <v>15</v>
      </c>
      <c r="G50" s="14">
        <v>1</v>
      </c>
      <c r="H50" s="15">
        <f t="shared" si="5"/>
        <v>15</v>
      </c>
    </row>
    <row r="51" spans="1:8" x14ac:dyDescent="0.25">
      <c r="A51" s="10"/>
      <c r="B51" s="11"/>
      <c r="C51" s="11" t="s">
        <v>49</v>
      </c>
      <c r="D51" s="11" t="s">
        <v>24</v>
      </c>
      <c r="E51" s="22" t="s">
        <v>28</v>
      </c>
      <c r="F51" s="13">
        <v>20</v>
      </c>
      <c r="G51" s="14">
        <v>1</v>
      </c>
      <c r="H51" s="15">
        <f t="shared" si="5"/>
        <v>20</v>
      </c>
    </row>
    <row r="52" spans="1:8" x14ac:dyDescent="0.25">
      <c r="A52" s="10"/>
      <c r="B52" s="11"/>
      <c r="C52" s="11" t="s">
        <v>50</v>
      </c>
      <c r="D52" s="11" t="s">
        <v>24</v>
      </c>
      <c r="E52" s="22" t="s">
        <v>23</v>
      </c>
      <c r="F52" s="13">
        <v>15</v>
      </c>
      <c r="G52" s="14">
        <v>1</v>
      </c>
      <c r="H52" s="15">
        <f t="shared" si="5"/>
        <v>15</v>
      </c>
    </row>
    <row r="53" spans="1:8" x14ac:dyDescent="0.25">
      <c r="A53" s="10"/>
      <c r="B53" s="11"/>
      <c r="C53" s="11" t="s">
        <v>51</v>
      </c>
      <c r="D53" s="11" t="s">
        <v>24</v>
      </c>
      <c r="E53" s="22" t="s">
        <v>23</v>
      </c>
      <c r="F53" s="13">
        <v>25</v>
      </c>
      <c r="G53" s="14">
        <v>1</v>
      </c>
      <c r="H53" s="15">
        <f t="shared" si="5"/>
        <v>25</v>
      </c>
    </row>
    <row r="54" spans="1:8" x14ac:dyDescent="0.25">
      <c r="A54" s="10"/>
      <c r="B54" s="11"/>
      <c r="C54" s="11" t="s">
        <v>32</v>
      </c>
      <c r="D54" s="11" t="s">
        <v>26</v>
      </c>
      <c r="E54" s="22" t="s">
        <v>23</v>
      </c>
      <c r="F54" s="13">
        <v>15</v>
      </c>
      <c r="G54" s="14">
        <v>1</v>
      </c>
      <c r="H54" s="15">
        <f t="shared" si="5"/>
        <v>15</v>
      </c>
    </row>
    <row r="55" spans="1:8" x14ac:dyDescent="0.25">
      <c r="A55" s="7" t="s">
        <v>66</v>
      </c>
      <c r="B55" s="11" t="s">
        <v>28</v>
      </c>
      <c r="C55" s="8"/>
      <c r="D55" s="8"/>
      <c r="E55" s="21"/>
      <c r="F55" s="8"/>
      <c r="G55" s="8"/>
      <c r="H55" s="9">
        <f>SUM(H56:H61)</f>
        <v>145</v>
      </c>
    </row>
    <row r="56" spans="1:8" x14ac:dyDescent="0.25">
      <c r="A56" s="10"/>
      <c r="B56" s="11"/>
      <c r="C56" s="11" t="s">
        <v>52</v>
      </c>
      <c r="D56" s="11" t="s">
        <v>17</v>
      </c>
      <c r="E56" s="22" t="s">
        <v>28</v>
      </c>
      <c r="F56" s="17">
        <v>35</v>
      </c>
      <c r="G56" s="18">
        <v>1</v>
      </c>
      <c r="H56" s="15">
        <f>F56*G56</f>
        <v>35</v>
      </c>
    </row>
    <row r="57" spans="1:8" x14ac:dyDescent="0.25">
      <c r="A57" s="10"/>
      <c r="B57" s="11"/>
      <c r="C57" s="11" t="s">
        <v>53</v>
      </c>
      <c r="D57" s="11" t="s">
        <v>21</v>
      </c>
      <c r="E57" s="22" t="s">
        <v>28</v>
      </c>
      <c r="F57" s="13">
        <v>15</v>
      </c>
      <c r="G57" s="14">
        <v>1</v>
      </c>
      <c r="H57" s="15">
        <f>F57*G57</f>
        <v>15</v>
      </c>
    </row>
    <row r="58" spans="1:8" x14ac:dyDescent="0.25">
      <c r="A58" s="10"/>
      <c r="B58" s="11"/>
      <c r="C58" s="11" t="s">
        <v>56</v>
      </c>
      <c r="D58" s="11" t="s">
        <v>17</v>
      </c>
      <c r="E58" s="22" t="s">
        <v>19</v>
      </c>
      <c r="F58" s="13">
        <v>30</v>
      </c>
      <c r="G58" s="14">
        <v>1</v>
      </c>
      <c r="H58" s="15">
        <f t="shared" ref="H58" si="6">F58*G58</f>
        <v>30</v>
      </c>
    </row>
    <row r="59" spans="1:8" x14ac:dyDescent="0.25">
      <c r="A59" s="10"/>
      <c r="B59" s="11"/>
      <c r="C59" s="11" t="s">
        <v>54</v>
      </c>
      <c r="D59" s="11" t="s">
        <v>21</v>
      </c>
      <c r="E59" s="22" t="s">
        <v>28</v>
      </c>
      <c r="F59" s="13">
        <v>20</v>
      </c>
      <c r="G59" s="14">
        <v>1</v>
      </c>
      <c r="H59" s="15">
        <f>F59*G59</f>
        <v>20</v>
      </c>
    </row>
    <row r="60" spans="1:8" x14ac:dyDescent="0.25">
      <c r="A60" s="10"/>
      <c r="B60" s="11"/>
      <c r="C60" s="11" t="s">
        <v>49</v>
      </c>
      <c r="D60" s="11" t="s">
        <v>24</v>
      </c>
      <c r="E60" s="22" t="s">
        <v>28</v>
      </c>
      <c r="F60" s="13">
        <v>20</v>
      </c>
      <c r="G60" s="14">
        <v>1</v>
      </c>
      <c r="H60" s="15">
        <f>F60*G60</f>
        <v>20</v>
      </c>
    </row>
    <row r="61" spans="1:8" x14ac:dyDescent="0.25">
      <c r="A61" s="10"/>
      <c r="B61" s="11"/>
      <c r="C61" s="11" t="s">
        <v>55</v>
      </c>
      <c r="D61" s="11" t="s">
        <v>26</v>
      </c>
      <c r="E61" s="22" t="s">
        <v>23</v>
      </c>
      <c r="F61" s="13">
        <v>25</v>
      </c>
      <c r="G61" s="14">
        <v>1</v>
      </c>
      <c r="H61" s="15">
        <f>F61*G61</f>
        <v>25</v>
      </c>
    </row>
    <row r="62" spans="1:8" x14ac:dyDescent="0.25">
      <c r="A62" s="10"/>
      <c r="B62" s="11"/>
      <c r="C62" s="11"/>
      <c r="D62" s="11"/>
      <c r="E62" s="22"/>
      <c r="F62" s="13"/>
      <c r="G62" s="14"/>
      <c r="H62" s="15"/>
    </row>
    <row r="63" spans="1:8" x14ac:dyDescent="0.25">
      <c r="A63" s="8" t="s">
        <v>7</v>
      </c>
      <c r="B63" s="11" t="s">
        <v>75</v>
      </c>
      <c r="C63" s="8"/>
      <c r="D63" s="8"/>
      <c r="E63" s="21"/>
      <c r="F63" s="8"/>
      <c r="G63" s="8"/>
      <c r="H63" s="9">
        <f>SUM(H64:H70)</f>
        <v>180</v>
      </c>
    </row>
    <row r="64" spans="1:8" x14ac:dyDescent="0.25">
      <c r="A64" s="10"/>
      <c r="B64" s="11"/>
      <c r="C64" s="11" t="s">
        <v>56</v>
      </c>
      <c r="D64" s="11" t="s">
        <v>17</v>
      </c>
      <c r="E64" s="22" t="s">
        <v>19</v>
      </c>
      <c r="F64" s="17">
        <v>50</v>
      </c>
      <c r="G64" s="18">
        <v>1</v>
      </c>
      <c r="H64" s="15">
        <f t="shared" ref="H64:H70" si="7">F64*G64</f>
        <v>50</v>
      </c>
    </row>
    <row r="65" spans="1:8" x14ac:dyDescent="0.25">
      <c r="A65" s="10"/>
      <c r="B65" s="11"/>
      <c r="C65" s="11" t="s">
        <v>77</v>
      </c>
      <c r="D65" s="11" t="s">
        <v>21</v>
      </c>
      <c r="E65" s="22" t="s">
        <v>23</v>
      </c>
      <c r="F65" s="13">
        <v>18</v>
      </c>
      <c r="G65" s="14">
        <v>1</v>
      </c>
      <c r="H65" s="15">
        <f t="shared" si="7"/>
        <v>18</v>
      </c>
    </row>
    <row r="66" spans="1:8" x14ac:dyDescent="0.25">
      <c r="A66" s="10"/>
      <c r="B66" s="11"/>
      <c r="C66" s="11" t="s">
        <v>57</v>
      </c>
      <c r="D66" s="11" t="s">
        <v>21</v>
      </c>
      <c r="E66" s="22" t="s">
        <v>19</v>
      </c>
      <c r="F66" s="13">
        <v>15</v>
      </c>
      <c r="G66" s="14">
        <v>1</v>
      </c>
      <c r="H66" s="15">
        <f t="shared" si="7"/>
        <v>15</v>
      </c>
    </row>
    <row r="67" spans="1:8" x14ac:dyDescent="0.25">
      <c r="A67" s="10"/>
      <c r="B67" s="11"/>
      <c r="C67" s="11" t="s">
        <v>34</v>
      </c>
      <c r="D67" s="11" t="s">
        <v>21</v>
      </c>
      <c r="E67" s="22" t="s">
        <v>19</v>
      </c>
      <c r="F67" s="13">
        <v>7</v>
      </c>
      <c r="G67" s="14">
        <v>1</v>
      </c>
      <c r="H67" s="15">
        <f t="shared" si="7"/>
        <v>7</v>
      </c>
    </row>
    <row r="68" spans="1:8" x14ac:dyDescent="0.25">
      <c r="A68" s="10"/>
      <c r="B68" s="11"/>
      <c r="C68" s="11" t="s">
        <v>25</v>
      </c>
      <c r="D68" s="11" t="s">
        <v>24</v>
      </c>
      <c r="E68" s="22" t="s">
        <v>19</v>
      </c>
      <c r="F68" s="13">
        <v>60</v>
      </c>
      <c r="G68" s="14">
        <v>1</v>
      </c>
      <c r="H68" s="15">
        <f t="shared" si="7"/>
        <v>60</v>
      </c>
    </row>
    <row r="69" spans="1:8" x14ac:dyDescent="0.25">
      <c r="A69" s="10"/>
      <c r="B69" s="11"/>
      <c r="C69" s="11" t="s">
        <v>58</v>
      </c>
      <c r="D69" s="11" t="s">
        <v>17</v>
      </c>
      <c r="E69" s="22" t="s">
        <v>19</v>
      </c>
      <c r="F69" s="13">
        <v>10</v>
      </c>
      <c r="G69" s="14">
        <v>1</v>
      </c>
      <c r="H69" s="15">
        <f t="shared" si="7"/>
        <v>10</v>
      </c>
    </row>
    <row r="70" spans="1:8" x14ac:dyDescent="0.25">
      <c r="A70" s="10"/>
      <c r="B70" s="11"/>
      <c r="C70" s="11" t="s">
        <v>32</v>
      </c>
      <c r="D70" s="11" t="s">
        <v>26</v>
      </c>
      <c r="E70" s="22" t="s">
        <v>23</v>
      </c>
      <c r="F70" s="13">
        <v>20</v>
      </c>
      <c r="G70" s="14">
        <v>1</v>
      </c>
      <c r="H70" s="15">
        <f t="shared" si="7"/>
        <v>20</v>
      </c>
    </row>
    <row r="71" spans="1:8" x14ac:dyDescent="0.25">
      <c r="A71" s="8" t="s">
        <v>59</v>
      </c>
      <c r="B71" s="11" t="s">
        <v>76</v>
      </c>
      <c r="C71" s="8"/>
      <c r="D71" s="8"/>
      <c r="E71" s="21"/>
      <c r="F71" s="8"/>
      <c r="G71" s="8"/>
      <c r="H71" s="9">
        <f>SUM(H72:H76)</f>
        <v>120</v>
      </c>
    </row>
    <row r="72" spans="1:8" x14ac:dyDescent="0.25">
      <c r="A72" s="10"/>
      <c r="B72" s="11"/>
      <c r="C72" s="11" t="s">
        <v>60</v>
      </c>
      <c r="D72" s="11" t="s">
        <v>24</v>
      </c>
      <c r="E72" s="23" t="s">
        <v>61</v>
      </c>
      <c r="F72" s="17">
        <v>50</v>
      </c>
      <c r="G72" s="18">
        <v>1</v>
      </c>
      <c r="H72" s="15">
        <f>F72*G72</f>
        <v>50</v>
      </c>
    </row>
    <row r="73" spans="1:8" x14ac:dyDescent="0.25">
      <c r="A73" s="10"/>
      <c r="B73" s="11"/>
      <c r="C73" s="11" t="s">
        <v>62</v>
      </c>
      <c r="D73" s="11" t="s">
        <v>26</v>
      </c>
      <c r="E73" s="22" t="s">
        <v>65</v>
      </c>
      <c r="F73" s="13">
        <v>20</v>
      </c>
      <c r="G73" s="14">
        <v>1</v>
      </c>
      <c r="H73" s="15">
        <f>F73*G73</f>
        <v>20</v>
      </c>
    </row>
    <row r="74" spans="1:8" x14ac:dyDescent="0.25">
      <c r="A74" s="10"/>
      <c r="B74" s="11"/>
      <c r="C74" s="11" t="s">
        <v>63</v>
      </c>
      <c r="D74" s="11" t="s">
        <v>26</v>
      </c>
      <c r="E74" s="22" t="s">
        <v>23</v>
      </c>
      <c r="F74" s="13">
        <v>20</v>
      </c>
      <c r="G74" s="14">
        <v>1</v>
      </c>
      <c r="H74" s="15">
        <f>F74*G74</f>
        <v>20</v>
      </c>
    </row>
    <row r="75" spans="1:8" x14ac:dyDescent="0.25">
      <c r="A75" s="10"/>
      <c r="B75" s="11"/>
      <c r="C75" s="11" t="s">
        <v>32</v>
      </c>
      <c r="D75" s="11" t="s">
        <v>26</v>
      </c>
      <c r="E75" s="22" t="s">
        <v>23</v>
      </c>
      <c r="F75" s="13">
        <v>20</v>
      </c>
      <c r="G75" s="14">
        <v>1</v>
      </c>
      <c r="H75" s="15">
        <f>F75*G75</f>
        <v>20</v>
      </c>
    </row>
    <row r="76" spans="1:8" ht="25.5" x14ac:dyDescent="0.25">
      <c r="A76" s="10"/>
      <c r="B76" s="11"/>
      <c r="C76" s="11" t="s">
        <v>64</v>
      </c>
      <c r="D76" s="11" t="s">
        <v>17</v>
      </c>
      <c r="E76" s="22" t="s">
        <v>23</v>
      </c>
      <c r="F76" s="13">
        <v>10</v>
      </c>
      <c r="G76" s="14">
        <v>1</v>
      </c>
      <c r="H76" s="15">
        <f>F76*G76</f>
        <v>10</v>
      </c>
    </row>
    <row r="77" spans="1:8" x14ac:dyDescent="0.25">
      <c r="A77" s="19"/>
      <c r="B77" s="19"/>
      <c r="C77" s="19"/>
      <c r="D77" s="19"/>
      <c r="F77" s="19"/>
      <c r="G77" s="19"/>
    </row>
  </sheetData>
  <autoFilter ref="D1:D77" xr:uid="{00000000-0001-0000-03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2026-08-25T16:10:49Z</dcterms:created>
  <dcterms:modified xsi:type="dcterms:W3CDTF">2026-09-08T20:52:31Z</dcterms:modified>
  <dc:language>en-US</dc:language>
</cp:coreProperties>
</file>